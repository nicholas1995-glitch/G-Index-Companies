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nicho\Desktop\Aziende_sottovalutate\obsoleti\"/>
    </mc:Choice>
  </mc:AlternateContent>
  <xr:revisionPtr revIDLastSave="0" documentId="13_ncr:1_{F9C949E9-FA55-4F93-A0D7-63A62D8AE6DC}" xr6:coauthVersionLast="47" xr6:coauthVersionMax="47" xr10:uidLastSave="{00000000-0000-0000-0000-000000000000}"/>
  <bookViews>
    <workbookView xWindow="19110" yWindow="0" windowWidth="19380" windowHeight="10530" xr2:uid="{00000000-000D-0000-FFFF-FFFF00000000}"/>
  </bookViews>
  <sheets>
    <sheet name="Foglio1" sheetId="1" r:id="rId1"/>
  </sheets>
  <functionGroups builtInGroupCount="19"/>
  <definedNames>
    <definedName name="_xleta.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</calcChain>
</file>

<file path=xl/sharedStrings.xml><?xml version="1.0" encoding="utf-8"?>
<sst xmlns="http://schemas.openxmlformats.org/spreadsheetml/2006/main" count="76" uniqueCount="47">
  <si>
    <t>Ticker</t>
  </si>
  <si>
    <t>P/E Ratio</t>
  </si>
  <si>
    <t>UCG.MI</t>
  </si>
  <si>
    <t>Indice G</t>
  </si>
  <si>
    <t>A2A.MI</t>
  </si>
  <si>
    <t>AMP.MI</t>
  </si>
  <si>
    <t>BAMI.MI</t>
  </si>
  <si>
    <t>BMED.MI</t>
  </si>
  <si>
    <t>CNHI.MI</t>
  </si>
  <si>
    <t>ENI.MI</t>
  </si>
  <si>
    <t>RACE.MI</t>
  </si>
  <si>
    <t>FBK.MI</t>
  </si>
  <si>
    <t>ENEL.MI</t>
  </si>
  <si>
    <t>ISP.MI</t>
  </si>
  <si>
    <t>IG.MI</t>
  </si>
  <si>
    <t>MB.MI</t>
  </si>
  <si>
    <t>MONC.MI</t>
  </si>
  <si>
    <t>PIRC.MI</t>
  </si>
  <si>
    <t>PRY.MI</t>
  </si>
  <si>
    <t>REC.MI</t>
  </si>
  <si>
    <t>SPM.MI</t>
  </si>
  <si>
    <t>SRG.MI</t>
  </si>
  <si>
    <t>TIT.MI</t>
  </si>
  <si>
    <t>UNI.MI</t>
  </si>
  <si>
    <t xml:space="preserve">-- </t>
  </si>
  <si>
    <t>N/A</t>
  </si>
  <si>
    <t>STLAM.MI</t>
  </si>
  <si>
    <t>G.MI</t>
  </si>
  <si>
    <t>TRN.MI</t>
  </si>
  <si>
    <t>STM.MI</t>
  </si>
  <si>
    <t>INW.MI</t>
  </si>
  <si>
    <t>BPE.MI</t>
  </si>
  <si>
    <t>IVG.MI</t>
  </si>
  <si>
    <t>BMPS.MI</t>
  </si>
  <si>
    <t>TEN.MI</t>
  </si>
  <si>
    <t>LDO.MI</t>
  </si>
  <si>
    <t>HER.MI</t>
  </si>
  <si>
    <t>PST.MI</t>
  </si>
  <si>
    <t>AZM.MI</t>
  </si>
  <si>
    <t>ERG.MI</t>
  </si>
  <si>
    <t>IP.MI</t>
  </si>
  <si>
    <t>BGN.MI</t>
  </si>
  <si>
    <t>NRXI.MI</t>
  </si>
  <si>
    <t>DIA.MI</t>
  </si>
  <si>
    <t>CPR.MI</t>
  </si>
  <si>
    <t>P/B Ratio</t>
  </si>
  <si>
    <t>PEG Ratio 5Y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</si>
</sst>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0" fontId="1" fillId="0" borderId="0" xfId="0" applyFont="1"/>
    <xf numFmtId="3" fontId="0" fillId="0" borderId="0" xfId="0" applyNumberFormat="1"/>
    <xf numFmtId="0" fontId="1" fillId="0" borderId="0" xfId="0" applyFont="1" applyAlignment="1">
      <alignment horizontal="center" vertical="center" wrapText="1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M42"/>
  <sheetViews>
    <sheetView tabSelected="1" workbookViewId="0">
      <selection activeCell="E2" sqref="E2"/>
    </sheetView>
  </sheetViews>
  <sheetFormatPr defaultRowHeight="14.5" x14ac:dyDescent="0.35"/>
  <cols>
    <col min="1" max="1" width="11.453125" customWidth="1"/>
    <col min="4" max="4" width="9" bestFit="1" customWidth="1"/>
    <col min="5" max="5" width="11.81640625" bestFit="1" customWidth="1"/>
  </cols>
  <sheetData>
    <row r="1" spans="1:13" ht="29" x14ac:dyDescent="0.35">
      <c r="A1" s="4" t="s">
        <v>0</v>
      </c>
      <c r="B1" s="4" t="s">
        <v>1</v>
      </c>
      <c r="C1" s="4" t="s">
        <v>45</v>
      </c>
      <c r="D1" s="4" t="s">
        <v>46</v>
      </c>
      <c r="E1" t="s">
        <v>3</v>
      </c>
    </row>
    <row r="2" spans="1:13" x14ac:dyDescent="0.35">
      <c r="A2" s="2" t="s">
        <v>2</v>
      </c>
      <c r="B2">
        <v>6.43</v>
      </c>
      <c r="C2">
        <v>0.96</v>
      </c>
      <c r="D2">
        <v>71.760000000000005</v>
      </c>
      <c r="E2">
        <f>((B2/15)*0.4+(C2*0.4)+D2*0.2)</f>
        <v>14.907466666666668</v>
      </c>
      <c r="F2" s="3"/>
      <c r="M2" s="2"/>
    </row>
    <row r="3" spans="1:13" x14ac:dyDescent="0.35">
      <c r="A3" s="2" t="s">
        <v>13</v>
      </c>
      <c r="B3">
        <v>7.66</v>
      </c>
      <c r="C3">
        <v>0.99</v>
      </c>
      <c r="D3" t="s">
        <v>24</v>
      </c>
      <c r="E3" t="e">
        <f t="shared" ref="E2:E41" si="0">((B3/15)*0.4+(C3*0.4)+D3*0.2)</f>
        <v>#VALUE!</v>
      </c>
      <c r="M3" s="2"/>
    </row>
    <row r="4" spans="1:13" x14ac:dyDescent="0.35">
      <c r="A4" s="2" t="s">
        <v>26</v>
      </c>
      <c r="B4">
        <v>2.91</v>
      </c>
      <c r="C4">
        <v>0.44</v>
      </c>
      <c r="D4">
        <v>1.75</v>
      </c>
      <c r="E4">
        <f t="shared" si="0"/>
        <v>0.60360000000000014</v>
      </c>
      <c r="M4" s="2"/>
    </row>
    <row r="5" spans="1:13" x14ac:dyDescent="0.35">
      <c r="A5" s="2" t="s">
        <v>27</v>
      </c>
      <c r="B5">
        <v>11.45</v>
      </c>
      <c r="C5">
        <v>1.41</v>
      </c>
      <c r="D5">
        <v>1.6</v>
      </c>
      <c r="E5">
        <f t="shared" si="0"/>
        <v>1.1893333333333334</v>
      </c>
      <c r="M5" s="2"/>
    </row>
    <row r="6" spans="1:13" x14ac:dyDescent="0.35">
      <c r="A6" s="2" t="s">
        <v>8</v>
      </c>
      <c r="B6" t="s">
        <v>25</v>
      </c>
      <c r="C6" t="s">
        <v>25</v>
      </c>
      <c r="D6" t="s">
        <v>25</v>
      </c>
      <c r="E6" t="e">
        <f t="shared" si="0"/>
        <v>#VALUE!</v>
      </c>
      <c r="M6" s="2"/>
    </row>
    <row r="7" spans="1:13" x14ac:dyDescent="0.35">
      <c r="A7" s="2" t="s">
        <v>12</v>
      </c>
      <c r="B7">
        <v>12.88</v>
      </c>
      <c r="C7">
        <v>1.94</v>
      </c>
      <c r="D7">
        <v>0.73</v>
      </c>
      <c r="E7">
        <f t="shared" si="0"/>
        <v>1.2654666666666667</v>
      </c>
      <c r="M7" s="2"/>
    </row>
    <row r="8" spans="1:13" x14ac:dyDescent="0.35">
      <c r="A8" s="2" t="s">
        <v>21</v>
      </c>
      <c r="B8">
        <v>13.58</v>
      </c>
      <c r="C8">
        <v>1.88</v>
      </c>
      <c r="D8">
        <v>3.35</v>
      </c>
      <c r="E8">
        <f t="shared" si="0"/>
        <v>1.7841333333333336</v>
      </c>
      <c r="M8" s="2"/>
    </row>
    <row r="9" spans="1:13" x14ac:dyDescent="0.35">
      <c r="A9" s="2" t="s">
        <v>28</v>
      </c>
      <c r="B9">
        <v>14.76</v>
      </c>
      <c r="C9">
        <v>2.08</v>
      </c>
      <c r="D9">
        <v>2.09</v>
      </c>
      <c r="E9">
        <f t="shared" si="0"/>
        <v>1.6435999999999999</v>
      </c>
      <c r="M9" s="2"/>
    </row>
    <row r="10" spans="1:13" x14ac:dyDescent="0.35">
      <c r="A10" s="2" t="s">
        <v>29</v>
      </c>
      <c r="B10" t="s">
        <v>25</v>
      </c>
      <c r="C10" t="s">
        <v>25</v>
      </c>
      <c r="D10" t="s">
        <v>25</v>
      </c>
      <c r="E10" t="e">
        <f t="shared" si="0"/>
        <v>#VALUE!</v>
      </c>
      <c r="M10" s="2"/>
    </row>
    <row r="11" spans="1:13" x14ac:dyDescent="0.35">
      <c r="A11" s="2" t="s">
        <v>30</v>
      </c>
      <c r="B11">
        <v>25.21</v>
      </c>
      <c r="C11">
        <v>2.15</v>
      </c>
      <c r="D11">
        <v>1.97</v>
      </c>
      <c r="E11">
        <f t="shared" si="0"/>
        <v>1.9262666666666668</v>
      </c>
      <c r="M11" s="2"/>
    </row>
    <row r="12" spans="1:13" x14ac:dyDescent="0.35">
      <c r="A12" s="2" t="s">
        <v>23</v>
      </c>
      <c r="B12">
        <v>6.84</v>
      </c>
      <c r="C12">
        <v>1.01</v>
      </c>
      <c r="D12" t="s">
        <v>24</v>
      </c>
      <c r="E12" t="e">
        <f t="shared" si="0"/>
        <v>#VALUE!</v>
      </c>
      <c r="M12" s="2"/>
    </row>
    <row r="13" spans="1:13" x14ac:dyDescent="0.35">
      <c r="A13" s="2" t="s">
        <v>31</v>
      </c>
      <c r="B13">
        <v>5.53</v>
      </c>
      <c r="C13">
        <v>0.85</v>
      </c>
      <c r="D13" t="s">
        <v>24</v>
      </c>
      <c r="E13" t="e">
        <f t="shared" si="0"/>
        <v>#VALUE!</v>
      </c>
      <c r="M13" s="2"/>
    </row>
    <row r="14" spans="1:13" x14ac:dyDescent="0.35">
      <c r="A14" s="2" t="s">
        <v>6</v>
      </c>
      <c r="B14">
        <v>7.38</v>
      </c>
      <c r="C14">
        <v>0.75</v>
      </c>
      <c r="D14" t="s">
        <v>24</v>
      </c>
      <c r="E14" t="e">
        <f t="shared" si="0"/>
        <v>#VALUE!</v>
      </c>
      <c r="M14" s="2"/>
    </row>
    <row r="15" spans="1:13" x14ac:dyDescent="0.35">
      <c r="A15" s="2" t="s">
        <v>32</v>
      </c>
      <c r="B15">
        <v>11.05</v>
      </c>
      <c r="C15">
        <v>1.03</v>
      </c>
      <c r="D15" t="s">
        <v>24</v>
      </c>
      <c r="E15" t="e">
        <f t="shared" si="0"/>
        <v>#VALUE!</v>
      </c>
      <c r="M15" s="2"/>
    </row>
    <row r="16" spans="1:13" x14ac:dyDescent="0.35">
      <c r="A16" s="2" t="s">
        <v>33</v>
      </c>
      <c r="B16">
        <v>2.87</v>
      </c>
      <c r="C16">
        <v>0.69</v>
      </c>
      <c r="D16" t="s">
        <v>24</v>
      </c>
      <c r="E16" t="e">
        <f t="shared" si="0"/>
        <v>#VALUE!</v>
      </c>
      <c r="M16" s="2"/>
    </row>
    <row r="17" spans="1:13" x14ac:dyDescent="0.35">
      <c r="A17" s="2" t="s">
        <v>15</v>
      </c>
      <c r="B17">
        <v>9.41</v>
      </c>
      <c r="C17">
        <v>1.06</v>
      </c>
      <c r="D17" t="s">
        <v>24</v>
      </c>
      <c r="E17" t="e">
        <f t="shared" si="0"/>
        <v>#VALUE!</v>
      </c>
      <c r="M17" s="2"/>
    </row>
    <row r="18" spans="1:13" x14ac:dyDescent="0.35">
      <c r="A18" s="2" t="s">
        <v>9</v>
      </c>
      <c r="B18">
        <v>18.05</v>
      </c>
      <c r="C18">
        <v>0.85</v>
      </c>
      <c r="D18">
        <v>2.66</v>
      </c>
      <c r="E18">
        <f t="shared" si="0"/>
        <v>1.3533333333333335</v>
      </c>
      <c r="M18" s="2"/>
    </row>
    <row r="19" spans="1:13" x14ac:dyDescent="0.35">
      <c r="A19" s="2" t="s">
        <v>17</v>
      </c>
      <c r="B19">
        <v>11.87</v>
      </c>
      <c r="C19">
        <v>0.92</v>
      </c>
      <c r="D19" t="s">
        <v>24</v>
      </c>
      <c r="E19" t="e">
        <f t="shared" si="0"/>
        <v>#VALUE!</v>
      </c>
      <c r="M19" s="2"/>
    </row>
    <row r="20" spans="1:13" x14ac:dyDescent="0.35">
      <c r="A20" s="2" t="s">
        <v>34</v>
      </c>
      <c r="B20">
        <v>8</v>
      </c>
      <c r="C20">
        <v>1.19</v>
      </c>
      <c r="D20" t="s">
        <v>24</v>
      </c>
      <c r="E20" t="e">
        <f t="shared" si="0"/>
        <v>#VALUE!</v>
      </c>
      <c r="M20" s="2"/>
    </row>
    <row r="21" spans="1:13" x14ac:dyDescent="0.35">
      <c r="A21" s="2" t="s">
        <v>35</v>
      </c>
      <c r="B21">
        <v>20.329999999999998</v>
      </c>
      <c r="C21">
        <v>1.69</v>
      </c>
      <c r="D21">
        <v>1.29</v>
      </c>
      <c r="E21">
        <f t="shared" si="0"/>
        <v>1.4761333333333333</v>
      </c>
      <c r="M21" s="2"/>
    </row>
    <row r="22" spans="1:13" x14ac:dyDescent="0.35">
      <c r="A22" s="2" t="s">
        <v>36</v>
      </c>
      <c r="B22">
        <v>11.56</v>
      </c>
      <c r="C22">
        <v>1.4</v>
      </c>
      <c r="D22" t="s">
        <v>24</v>
      </c>
      <c r="E22" t="e">
        <f t="shared" si="0"/>
        <v>#VALUE!</v>
      </c>
      <c r="M22" s="2"/>
    </row>
    <row r="23" spans="1:13" x14ac:dyDescent="0.35">
      <c r="A23" s="2" t="s">
        <v>37</v>
      </c>
      <c r="B23">
        <v>8.52</v>
      </c>
      <c r="C23">
        <v>1.42</v>
      </c>
      <c r="D23" t="s">
        <v>24</v>
      </c>
      <c r="E23" t="e">
        <f t="shared" si="0"/>
        <v>#VALUE!</v>
      </c>
      <c r="M23" s="2"/>
    </row>
    <row r="24" spans="1:13" x14ac:dyDescent="0.35">
      <c r="A24" s="2" t="s">
        <v>22</v>
      </c>
      <c r="B24" t="s">
        <v>24</v>
      </c>
      <c r="C24">
        <v>0.4</v>
      </c>
      <c r="D24">
        <v>0.51</v>
      </c>
      <c r="E24" t="e">
        <f t="shared" si="0"/>
        <v>#VALUE!</v>
      </c>
      <c r="M24" s="2"/>
    </row>
    <row r="25" spans="1:13" x14ac:dyDescent="0.35">
      <c r="A25" s="2" t="s">
        <v>38</v>
      </c>
      <c r="B25">
        <v>6.21</v>
      </c>
      <c r="C25">
        <v>1.89</v>
      </c>
      <c r="D25" t="s">
        <v>24</v>
      </c>
      <c r="E25" t="e">
        <f t="shared" si="0"/>
        <v>#VALUE!</v>
      </c>
      <c r="M25" s="2"/>
    </row>
    <row r="26" spans="1:13" x14ac:dyDescent="0.35">
      <c r="A26" s="2" t="s">
        <v>4</v>
      </c>
      <c r="B26">
        <v>5.72</v>
      </c>
      <c r="C26">
        <v>1.26</v>
      </c>
      <c r="D26" t="s">
        <v>24</v>
      </c>
      <c r="E26" t="e">
        <f t="shared" si="0"/>
        <v>#VALUE!</v>
      </c>
      <c r="M26" s="2"/>
    </row>
    <row r="27" spans="1:13" x14ac:dyDescent="0.35">
      <c r="A27" s="2" t="s">
        <v>7</v>
      </c>
      <c r="B27">
        <v>9.19</v>
      </c>
      <c r="C27">
        <v>2.16</v>
      </c>
      <c r="D27" t="s">
        <v>24</v>
      </c>
      <c r="E27" t="e">
        <f t="shared" si="0"/>
        <v>#VALUE!</v>
      </c>
      <c r="M27" s="2"/>
    </row>
    <row r="28" spans="1:13" x14ac:dyDescent="0.35">
      <c r="A28" s="2" t="s">
        <v>14</v>
      </c>
      <c r="B28">
        <v>9.83</v>
      </c>
      <c r="C28">
        <v>2.04</v>
      </c>
      <c r="D28" t="s">
        <v>24</v>
      </c>
      <c r="E28" t="e">
        <f t="shared" si="0"/>
        <v>#VALUE!</v>
      </c>
      <c r="M28" s="2"/>
    </row>
    <row r="29" spans="1:13" x14ac:dyDescent="0.35">
      <c r="A29" s="2" t="s">
        <v>16</v>
      </c>
      <c r="B29">
        <v>20.2</v>
      </c>
      <c r="C29">
        <v>4.21</v>
      </c>
      <c r="D29">
        <v>2.97</v>
      </c>
      <c r="E29">
        <f t="shared" si="0"/>
        <v>2.8166666666666673</v>
      </c>
      <c r="M29" s="2"/>
    </row>
    <row r="30" spans="1:13" x14ac:dyDescent="0.35">
      <c r="A30" s="2" t="s">
        <v>18</v>
      </c>
      <c r="B30">
        <v>32.76</v>
      </c>
      <c r="C30">
        <v>3.73</v>
      </c>
      <c r="D30" t="s">
        <v>24</v>
      </c>
      <c r="E30" t="e">
        <f t="shared" si="0"/>
        <v>#VALUE!</v>
      </c>
      <c r="M30" s="2"/>
    </row>
    <row r="31" spans="1:13" x14ac:dyDescent="0.35">
      <c r="A31" s="2" t="s">
        <v>39</v>
      </c>
      <c r="B31">
        <v>12.82</v>
      </c>
      <c r="C31">
        <v>1.39</v>
      </c>
      <c r="D31" t="s">
        <v>24</v>
      </c>
      <c r="E31" t="e">
        <f t="shared" si="0"/>
        <v>#VALUE!</v>
      </c>
      <c r="M31" s="2"/>
    </row>
    <row r="32" spans="1:13" x14ac:dyDescent="0.35">
      <c r="A32" s="2" t="s">
        <v>40</v>
      </c>
      <c r="B32">
        <v>20.82</v>
      </c>
      <c r="C32">
        <v>2.34</v>
      </c>
      <c r="D32" t="s">
        <v>24</v>
      </c>
      <c r="E32" t="e">
        <f t="shared" si="0"/>
        <v>#VALUE!</v>
      </c>
      <c r="M32" s="2"/>
    </row>
    <row r="33" spans="1:13" x14ac:dyDescent="0.35">
      <c r="A33" s="2" t="s">
        <v>41</v>
      </c>
      <c r="B33">
        <v>12.11</v>
      </c>
      <c r="C33">
        <v>3.5</v>
      </c>
      <c r="D33" t="s">
        <v>24</v>
      </c>
      <c r="E33" t="e">
        <f t="shared" si="0"/>
        <v>#VALUE!</v>
      </c>
      <c r="M33" s="2"/>
    </row>
    <row r="34" spans="1:13" x14ac:dyDescent="0.35">
      <c r="A34" s="2" t="s">
        <v>42</v>
      </c>
      <c r="B34" t="s">
        <v>25</v>
      </c>
      <c r="C34" t="s">
        <v>25</v>
      </c>
      <c r="D34" t="s">
        <v>25</v>
      </c>
      <c r="E34" t="e">
        <f t="shared" si="0"/>
        <v>#VALUE!</v>
      </c>
      <c r="M34" s="2"/>
    </row>
    <row r="35" spans="1:13" x14ac:dyDescent="0.35">
      <c r="A35" s="2" t="s">
        <v>11</v>
      </c>
      <c r="B35">
        <v>14.9</v>
      </c>
      <c r="C35">
        <v>4.1399999999999997</v>
      </c>
      <c r="D35" t="s">
        <v>24</v>
      </c>
      <c r="E35" t="e">
        <f t="shared" si="0"/>
        <v>#VALUE!</v>
      </c>
      <c r="M35" s="2"/>
    </row>
    <row r="36" spans="1:13" x14ac:dyDescent="0.35">
      <c r="A36" s="2" t="s">
        <v>43</v>
      </c>
      <c r="B36">
        <v>30.58</v>
      </c>
      <c r="C36">
        <v>3.44</v>
      </c>
      <c r="D36">
        <v>1.48</v>
      </c>
      <c r="E36">
        <f t="shared" si="0"/>
        <v>2.4874666666666667</v>
      </c>
      <c r="M36" s="2"/>
    </row>
    <row r="37" spans="1:13" x14ac:dyDescent="0.35">
      <c r="A37" s="2" t="s">
        <v>44</v>
      </c>
      <c r="B37">
        <v>22.98</v>
      </c>
      <c r="C37">
        <v>1.8</v>
      </c>
      <c r="D37">
        <v>2.57</v>
      </c>
      <c r="E37">
        <f t="shared" si="0"/>
        <v>1.8468000000000002</v>
      </c>
      <c r="M37" s="2"/>
    </row>
    <row r="38" spans="1:13" x14ac:dyDescent="0.35">
      <c r="A38" s="2" t="s">
        <v>19</v>
      </c>
      <c r="B38">
        <v>24.72</v>
      </c>
      <c r="C38">
        <v>5.72</v>
      </c>
      <c r="D38">
        <v>1.43</v>
      </c>
      <c r="E38">
        <f t="shared" si="0"/>
        <v>3.2331999999999996</v>
      </c>
      <c r="M38" s="2"/>
    </row>
    <row r="39" spans="1:13" x14ac:dyDescent="0.35">
      <c r="A39" s="2" t="s">
        <v>5</v>
      </c>
      <c r="B39">
        <v>34.43</v>
      </c>
      <c r="C39">
        <v>4.7699999999999996</v>
      </c>
      <c r="D39" t="s">
        <v>24</v>
      </c>
      <c r="E39" t="e">
        <f t="shared" si="0"/>
        <v>#VALUE!</v>
      </c>
      <c r="M39" s="2"/>
    </row>
    <row r="40" spans="1:13" x14ac:dyDescent="0.35">
      <c r="A40" s="2" t="s">
        <v>20</v>
      </c>
      <c r="B40">
        <v>18.22</v>
      </c>
      <c r="C40">
        <v>1.92</v>
      </c>
      <c r="D40">
        <v>0.37</v>
      </c>
      <c r="E40">
        <f t="shared" si="0"/>
        <v>1.3278666666666668</v>
      </c>
      <c r="M40" s="2"/>
    </row>
    <row r="41" spans="1:13" x14ac:dyDescent="0.35">
      <c r="A41" s="2" t="s">
        <v>10</v>
      </c>
      <c r="B41">
        <v>51.7</v>
      </c>
      <c r="C41">
        <v>22.01</v>
      </c>
      <c r="D41">
        <v>12.3</v>
      </c>
      <c r="E41">
        <f t="shared" si="0"/>
        <v>12.642666666666667</v>
      </c>
      <c r="M41" s="2"/>
    </row>
    <row r="42" spans="1:13" x14ac:dyDescent="0.35">
      <c r="A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Gazzola</dc:creator>
  <cp:lastModifiedBy>365VIP</cp:lastModifiedBy>
  <dcterms:created xsi:type="dcterms:W3CDTF">2015-06-05T18:19:34Z</dcterms:created>
  <dcterms:modified xsi:type="dcterms:W3CDTF">2024-11-20T20:47:00Z</dcterms:modified>
</cp:coreProperties>
</file>